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ámetros" sheetId="1" state="visible" r:id="rId1"/>
    <sheet name="Resultados" sheetId="2" state="visible" r:id="rId2"/>
    <sheet name="Sensibilidad" sheetId="3" state="visible" r:id="rId3"/>
    <sheet name="Mi Escenario" sheetId="4" state="visible" r:id="rId4"/>
  </sheets>
  <definedNames>
    <definedName name="BIL_H">Parámetros!$B5</definedName>
    <definedName name="BIL_K">Parámetros!$B6</definedName>
    <definedName name="IMP_H">Parámetros!$B7</definedName>
    <definedName name="IMP_K">Parámetros!$B8</definedName>
    <definedName name="SIPAM_H">Parámetros!$B9</definedName>
    <definedName name="SIPAM_K">Parámetros!$B10</definedName>
    <definedName name="CNT_M">Parámetros!$B11</definedName>
    <definedName name="IVA_R">Parámetros!$B14</definedName>
    <definedName name="AUT_M">Parámetros!$B15</definedName>
    <definedName name="FSIPA">Parámetros!$B16</definedName>
    <definedName name="CNT_RI">Parámetros!$B17</definedName>
    <definedName name="GAS_A">Parámetros!$B18</definedName>
    <definedName name="GAS_B">Parámetros!$B19</definedName>
    <definedName name="MNI_R">Parámetros!$B22</definedName>
    <definedName name="DE_R">Parámetros!$B23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55555"/>
      <sz val="9"/>
    </font>
    <font>
      <b val="1"/>
      <color rgb="00FFFFFF"/>
      <sz val="10"/>
    </font>
    <font>
      <sz val="10"/>
    </font>
    <font>
      <b val="1"/>
      <color rgb="007B3F00"/>
      <sz val="10"/>
    </font>
    <font>
      <i val="1"/>
      <color rgb="00666666"/>
      <sz val="9"/>
    </font>
    <font>
      <b val="1"/>
      <color rgb="00000000"/>
      <sz val="9"/>
    </font>
    <font>
      <color rgb="00000000"/>
      <sz val="10"/>
    </font>
    <font>
      <b val="1"/>
      <color rgb="00FFFFFF"/>
      <sz val="11"/>
    </font>
    <font>
      <b val="1"/>
      <color rgb="00000000"/>
      <sz val="10"/>
    </font>
    <font>
      <b val="1"/>
      <color rgb="001A5C2A"/>
      <sz val="10"/>
    </font>
    <font>
      <b val="1"/>
      <color rgb="008B0000"/>
      <sz val="10"/>
    </font>
    <font>
      <color rgb="001A5C2A"/>
      <sz val="10"/>
    </font>
    <font>
      <color rgb="008B0000"/>
      <sz val="10"/>
    </font>
    <font>
      <b val="1"/>
      <sz val="10"/>
    </font>
    <font>
      <b val="1"/>
      <color rgb="001A5C2A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C7B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/>
      <top style="medium">
        <color rgb="00888888"/>
      </top>
      <bottom style="medium">
        <color rgb="00888888"/>
      </bottom>
      <diagonal/>
    </border>
    <border>
      <left/>
      <right style="medium">
        <color rgb="00888888"/>
      </right>
      <top style="medium">
        <color rgb="00888888"/>
      </top>
      <bottom style="medium">
        <color rgb="00888888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left" vertical="center"/>
    </xf>
    <xf numFmtId="3" fontId="5" fillId="5" borderId="6" applyAlignment="1" pivotButton="0" quotePrefix="0" xfId="0">
      <alignment horizontal="right" vertical="center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0" fontId="5" fillId="5" borderId="6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8" fillId="4" borderId="1" applyAlignment="1" pivotButton="0" quotePrefix="0" xfId="0">
      <alignment horizontal="left" vertical="center"/>
    </xf>
    <xf numFmtId="3" fontId="10" fillId="8" borderId="1" applyAlignment="1" pivotButton="0" quotePrefix="0" xfId="0">
      <alignment horizontal="right" vertical="center"/>
    </xf>
    <xf numFmtId="3" fontId="10" fillId="9" borderId="1" applyAlignment="1" pivotButton="0" quotePrefix="0" xfId="0">
      <alignment horizontal="right" vertical="center"/>
    </xf>
    <xf numFmtId="10" fontId="11" fillId="9" borderId="1" applyAlignment="1" pivotButton="0" quotePrefix="0" xfId="0">
      <alignment horizontal="right" vertical="center"/>
    </xf>
    <xf numFmtId="10" fontId="12" fillId="9" borderId="1" applyAlignment="1" pivotButton="0" quotePrefix="0" xfId="0">
      <alignment horizontal="right" vertical="center"/>
    </xf>
    <xf numFmtId="3" fontId="13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/>
    </xf>
    <xf numFmtId="10" fontId="14" fillId="9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10" fontId="13" fillId="8" borderId="1" applyAlignment="1" pivotButton="0" quotePrefix="0" xfId="0">
      <alignment horizontal="right" vertical="center"/>
    </xf>
    <xf numFmtId="10" fontId="11" fillId="8" borderId="1" applyAlignment="1" pivotButton="0" quotePrefix="0" xfId="0">
      <alignment horizontal="right" vertical="center"/>
    </xf>
    <xf numFmtId="0" fontId="6" fillId="6" borderId="1" applyAlignment="1" pivotButton="0" quotePrefix="0" xfId="0">
      <alignment wrapText="1"/>
    </xf>
    <xf numFmtId="0" fontId="5" fillId="5" borderId="6" applyAlignment="1" pivotButton="0" quotePrefix="0" xfId="0">
      <alignment horizontal="right" vertical="center"/>
    </xf>
    <xf numFmtId="3" fontId="10" fillId="7" borderId="1" applyAlignment="1" pivotButton="0" quotePrefix="0" xfId="0">
      <alignment horizontal="right" vertical="center"/>
    </xf>
    <xf numFmtId="0" fontId="0" fillId="0" borderId="1" pivotButton="0" quotePrefix="0" xfId="0"/>
    <xf numFmtId="3" fontId="8" fillId="7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left" vertical="center"/>
    </xf>
    <xf numFmtId="10" fontId="10" fillId="9" borderId="1" applyAlignment="1" pivotButton="0" quotePrefix="0" xfId="0">
      <alignment horizontal="right" vertical="center"/>
    </xf>
    <xf numFmtId="0" fontId="6" fillId="0" borderId="0" pivotButton="0" quotePrefix="0" xfId="0"/>
    <xf numFmtId="0" fontId="16" fillId="8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2" fontId="8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2" customWidth="1" min="3" max="3"/>
    <col width="40" customWidth="1" min="4" max="4"/>
  </cols>
  <sheetData>
    <row r="1" ht="30" customHeight="1">
      <c r="A1" s="1" t="inlineStr">
        <is>
          <t>PARÁMETROS DEL MODELO FISCAL — ARGENTINA 2026</t>
        </is>
      </c>
      <c r="B1" s="2" t="n"/>
      <c r="C1" s="2" t="n"/>
      <c r="D1" s="3" t="n"/>
    </row>
    <row r="2">
      <c r="A2" s="4" t="inlineStr">
        <is>
          <t>Celdas amarillas = editables. Los resultados se recalculan automáticamente.</t>
        </is>
      </c>
    </row>
    <row r="4">
      <c r="A4" s="5" t="inlineStr">
        <is>
          <t>── MONOTRIBUTO (1er semestre 2026, servicios) ──</t>
        </is>
      </c>
      <c r="B4" s="6" t="n"/>
      <c r="C4" s="6" t="n"/>
      <c r="D4" s="6" t="n"/>
    </row>
    <row r="5">
      <c r="A5" s="7" t="inlineStr">
        <is>
          <t>Billing máx. Cat H (anual)</t>
        </is>
      </c>
      <c r="B5" s="8" t="n">
        <v>70113407</v>
      </c>
      <c r="C5" s="9" t="n"/>
      <c r="D5" s="10" t="inlineStr">
        <is>
          <t>Límite ingresos Cat H · Feb 2026</t>
        </is>
      </c>
    </row>
    <row r="6">
      <c r="A6" s="7" t="inlineStr">
        <is>
          <t>Billing máx. Cat K (anual)</t>
        </is>
      </c>
      <c r="B6" s="8" t="n">
        <v>108357084</v>
      </c>
      <c r="C6" s="9" t="n"/>
      <c r="D6" s="10" t="inlineStr">
        <is>
          <t>Límite ingresos Cat K · Feb 2026</t>
        </is>
      </c>
    </row>
    <row r="7">
      <c r="A7" s="7" t="inlineStr">
        <is>
          <t>Impuesto integrado Cat H (anual)</t>
        </is>
      </c>
      <c r="B7" s="8" t="n">
        <v>4206804</v>
      </c>
      <c r="C7" s="9" t="n"/>
      <c r="D7" s="10" t="inlineStr">
        <is>
          <t>Componente impositivo cuota Cat H</t>
        </is>
      </c>
    </row>
    <row r="8">
      <c r="A8" s="7" t="inlineStr">
        <is>
          <t>Impuesto integrado Cat K (anual)</t>
        </is>
      </c>
      <c r="B8" s="8" t="n">
        <v>14054556</v>
      </c>
      <c r="C8" s="9" t="n"/>
      <c r="D8" s="10" t="inlineStr">
        <is>
          <t>Componente impositivo cuota Cat K</t>
        </is>
      </c>
    </row>
    <row r="9">
      <c r="A9" s="7" t="inlineStr">
        <is>
          <t>SIPA jubilación Cat H (anual)</t>
        </is>
      </c>
      <c r="B9" s="8" t="n">
        <v>829128</v>
      </c>
      <c r="C9" s="9" t="n"/>
      <c r="D9" s="10" t="inlineStr">
        <is>
          <t>Componente previsional Cat H</t>
        </is>
      </c>
    </row>
    <row r="10">
      <c r="A10" s="7" t="inlineStr">
        <is>
          <t>SIPA jubilación Cat K (anual)</t>
        </is>
      </c>
      <c r="B10" s="8" t="n">
        <v>829128</v>
      </c>
      <c r="C10" s="9" t="n"/>
      <c r="D10" s="10" t="inlineStr">
        <is>
          <t>Componente previsional Cat K</t>
        </is>
      </c>
    </row>
    <row r="11">
      <c r="A11" s="7" t="inlineStr">
        <is>
          <t>Honorarios contador Monotributo (anual)</t>
        </is>
      </c>
      <c r="B11" s="8" t="n">
        <v>660000</v>
      </c>
      <c r="C11" s="9" t="n"/>
      <c r="D11" s="10" t="inlineStr">
        <is>
          <t>$55.000/mes</t>
        </is>
      </c>
    </row>
    <row r="13">
      <c r="A13" s="5" t="inlineStr">
        <is>
          <t>── RESPONSABLE INSCRIPTO ──</t>
        </is>
      </c>
      <c r="B13" s="6" t="n"/>
      <c r="C13" s="6" t="n"/>
      <c r="D13" s="6" t="n"/>
    </row>
    <row r="14">
      <c r="A14" s="7" t="inlineStr">
        <is>
          <t>Tasa IVA</t>
        </is>
      </c>
      <c r="B14" s="11" t="n">
        <v>0.21</v>
      </c>
      <c r="C14" s="9" t="n"/>
      <c r="D14" s="10" t="inlineStr">
        <is>
          <t>Alícuota general 21%</t>
        </is>
      </c>
    </row>
    <row r="15">
      <c r="A15" s="7" t="inlineStr">
        <is>
          <t>Aportes autónomos Cat V (mensual)</t>
        </is>
      </c>
      <c r="B15" s="8" t="n">
        <v>283934</v>
      </c>
      <c r="C15" s="9" t="n"/>
      <c r="D15" s="10" t="inlineStr">
        <is>
          <t>Incluye SIPA + obra social · Feb 2026</t>
        </is>
      </c>
    </row>
    <row r="16">
      <c r="A16" s="7" t="inlineStr">
        <is>
          <t>Fracción SIPA (jubilación)</t>
        </is>
      </c>
      <c r="B16" s="11" t="n">
        <v>0.6</v>
      </c>
      <c r="C16" s="9" t="n"/>
      <c r="D16" s="10" t="inlineStr">
        <is>
          <t>~60% del aporte total va a jubilación</t>
        </is>
      </c>
    </row>
    <row r="17">
      <c r="A17" s="7" t="inlineStr">
        <is>
          <t>Honorarios contador RI (anual)</t>
        </is>
      </c>
      <c r="B17" s="8" t="n">
        <v>3000000</v>
      </c>
      <c r="C17" s="9" t="n"/>
      <c r="D17" s="10" t="inlineStr">
        <is>
          <t>Estimado por mayor complejidad del régimen</t>
        </is>
      </c>
    </row>
    <row r="18">
      <c r="A18" s="7" t="inlineStr">
        <is>
          <t>% Gastos deducibles — Escenario A</t>
        </is>
      </c>
      <c r="B18" s="11" t="n">
        <v>0.2</v>
      </c>
      <c r="C18" s="9" t="n"/>
      <c r="D18" s="10" t="inlineStr">
        <is>
          <t>Gastos profesionales / ingreso neto</t>
        </is>
      </c>
    </row>
    <row r="19">
      <c r="A19" s="7" t="inlineStr">
        <is>
          <t>% Gastos deducibles — Escenario B</t>
        </is>
      </c>
      <c r="B19" s="11" t="n">
        <v>0.45</v>
      </c>
      <c r="C19" s="9" t="n"/>
      <c r="D19" s="10" t="inlineStr">
        <is>
          <t>Profesional con alta estructura de costos</t>
        </is>
      </c>
    </row>
    <row r="21">
      <c r="A21" s="5" t="inlineStr">
        <is>
          <t>── DEDUCCIONES PERSONALES GANANCIAS (anual) ──</t>
        </is>
      </c>
      <c r="B21" s="6" t="n"/>
      <c r="C21" s="6" t="n"/>
      <c r="D21" s="6" t="n"/>
    </row>
    <row r="22">
      <c r="A22" s="7" t="inlineStr">
        <is>
          <t>Mínimo No Imponible (MNI)</t>
        </is>
      </c>
      <c r="B22" s="8" t="n">
        <v>13677828</v>
      </c>
      <c r="C22" s="9" t="n"/>
      <c r="D22" s="10" t="inlineStr">
        <is>
          <t>Soltero sin cargas · 2026</t>
        </is>
      </c>
    </row>
    <row r="23">
      <c r="A23" s="7" t="inlineStr">
        <is>
          <t>Deducción Especial (DE) servicios</t>
        </is>
      </c>
      <c r="B23" s="8" t="n">
        <v>9505236</v>
      </c>
      <c r="C23" s="9" t="n"/>
      <c r="D23" s="10" t="inlineStr">
        <is>
          <t>Profesional / autónomo</t>
        </is>
      </c>
    </row>
    <row r="25">
      <c r="A25" s="5" t="inlineStr">
        <is>
          <t>── ESCALA GANANCIAS (1er semestre 2026) ──</t>
        </is>
      </c>
      <c r="B25" s="6" t="n"/>
      <c r="C25" s="6" t="n"/>
      <c r="D25" s="6" t="n"/>
    </row>
    <row r="26">
      <c r="A26" s="12" t="inlineStr">
        <is>
          <t>Desde ($)</t>
        </is>
      </c>
      <c r="B26" s="12" t="inlineStr">
        <is>
          <t>Hasta ($)</t>
        </is>
      </c>
      <c r="C26" s="12" t="inlineStr">
        <is>
          <t>Cuota fija ($)</t>
        </is>
      </c>
      <c r="D26" s="12" t="inlineStr">
        <is>
          <t>% s/ excedente</t>
        </is>
      </c>
    </row>
    <row r="27">
      <c r="A27" s="13" t="n">
        <v>0</v>
      </c>
      <c r="B27" s="13" t="n">
        <v>3000045</v>
      </c>
      <c r="C27" s="13" t="n">
        <v>0</v>
      </c>
      <c r="D27" s="14" t="n">
        <v>0.05</v>
      </c>
    </row>
    <row r="28">
      <c r="A28" s="13" t="n">
        <v>3000045</v>
      </c>
      <c r="B28" s="13" t="n">
        <v>6000090</v>
      </c>
      <c r="C28" s="13" t="n">
        <v>150002</v>
      </c>
      <c r="D28" s="14" t="n">
        <v>0.09</v>
      </c>
    </row>
    <row r="29">
      <c r="A29" s="13" t="n">
        <v>6000090</v>
      </c>
      <c r="B29" s="13" t="n">
        <v>9000135</v>
      </c>
      <c r="C29" s="13" t="n">
        <v>420008</v>
      </c>
      <c r="D29" s="14" t="n">
        <v>0.12</v>
      </c>
    </row>
    <row r="30">
      <c r="A30" s="13" t="n">
        <v>9000135</v>
      </c>
      <c r="B30" s="13" t="n">
        <v>18000271</v>
      </c>
      <c r="C30" s="13" t="n">
        <v>780015</v>
      </c>
      <c r="D30" s="14" t="n">
        <v>0.15</v>
      </c>
    </row>
    <row r="31">
      <c r="A31" s="13" t="n">
        <v>18000271</v>
      </c>
      <c r="B31" s="13" t="n">
        <v>27000406</v>
      </c>
      <c r="C31" s="13" t="n">
        <v>2115040</v>
      </c>
      <c r="D31" s="14" t="n">
        <v>0.19</v>
      </c>
    </row>
    <row r="32">
      <c r="A32" s="13" t="n">
        <v>27000406</v>
      </c>
      <c r="B32" s="13" t="n">
        <v>40500609</v>
      </c>
      <c r="C32" s="13" t="n">
        <v>3825052</v>
      </c>
      <c r="D32" s="14" t="n">
        <v>0.23</v>
      </c>
    </row>
    <row r="33">
      <c r="A33" s="13" t="n">
        <v>40500609</v>
      </c>
      <c r="B33" s="13" t="n">
        <v>54000812</v>
      </c>
      <c r="C33" s="13" t="n">
        <v>6930094</v>
      </c>
      <c r="D33" s="14" t="n">
        <v>0.27</v>
      </c>
    </row>
    <row r="34">
      <c r="A34" s="13" t="n">
        <v>54000812</v>
      </c>
      <c r="B34" s="13" t="n">
        <v>81001218</v>
      </c>
      <c r="C34" s="13" t="n">
        <v>10575143</v>
      </c>
      <c r="D34" s="14" t="n">
        <v>0.31</v>
      </c>
    </row>
    <row r="35">
      <c r="A35" s="13" t="n">
        <v>81001218</v>
      </c>
      <c r="B35" s="13" t="n">
        <v>9999999999</v>
      </c>
      <c r="C35" s="13" t="n">
        <v>18954524</v>
      </c>
      <c r="D35" s="14" t="n">
        <v>0.35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2" customHeight="1">
      <c r="A1" s="15" t="inlineStr">
        <is>
          <t>RESULTADOS — Monotributo vs. Responsable Inscripto · Argentina 2026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Total de referencia = billing del Monotributo (H o K). Para RI, incluye IVA en el total al cliente.</t>
        </is>
      </c>
    </row>
    <row r="3" ht="30" customHeight="1">
      <c r="A3" s="16" t="inlineStr">
        <is>
          <t>Concepto</t>
        </is>
      </c>
      <c r="B3" s="16" t="inlineStr">
        <is>
          <t>Mono H</t>
        </is>
      </c>
      <c r="C3" s="16" t="inlineStr">
        <is>
          <t>RI H
B2B — 20% g.</t>
        </is>
      </c>
      <c r="D3" s="16" t="inlineStr">
        <is>
          <t>RI H
B2B — 45% g.</t>
        </is>
      </c>
      <c r="E3" s="16" t="inlineStr">
        <is>
          <t>RI H
B2C — 20% g.</t>
        </is>
      </c>
      <c r="F3" s="16" t="inlineStr">
        <is>
          <t>RI H
B2C — 45% g.</t>
        </is>
      </c>
      <c r="G3" s="16" t="inlineStr">
        <is>
          <t>Mono K</t>
        </is>
      </c>
      <c r="H3" s="16" t="inlineStr">
        <is>
          <t>RI K
B2B — 20% g.</t>
        </is>
      </c>
      <c r="I3" s="16" t="inlineStr">
        <is>
          <t>RI K
B2B — 45% g.</t>
        </is>
      </c>
      <c r="J3" s="16" t="inlineStr">
        <is>
          <t>RI K
B2C — 20% g.</t>
        </is>
      </c>
      <c r="K3" s="16" t="inlineStr">
        <is>
          <t>RI K
B2C — 45% g.</t>
        </is>
      </c>
    </row>
    <row r="4" ht="18" customHeight="1">
      <c r="A4" s="17" t="inlineStr">
        <is>
          <t>── FACTURACIÓN ──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</row>
    <row r="5" ht="18" customHeight="1">
      <c r="A5" s="19" t="inlineStr">
        <is>
          <t>Total facturado al cliente</t>
        </is>
      </c>
      <c r="B5" s="13" t="n">
        <v>70113407</v>
      </c>
      <c r="C5" s="13" t="n">
        <v>84837222.47</v>
      </c>
      <c r="D5" s="13" t="n">
        <v>84837222.47</v>
      </c>
      <c r="E5" s="13" t="n">
        <v>70113407</v>
      </c>
      <c r="F5" s="13" t="n">
        <v>70113407</v>
      </c>
      <c r="G5" s="13" t="n">
        <v>108357084</v>
      </c>
      <c r="H5" s="13" t="n">
        <v>131112071.64</v>
      </c>
      <c r="I5" s="13" t="n">
        <v>131112071.64</v>
      </c>
      <c r="J5" s="13" t="n">
        <v>108357084</v>
      </c>
      <c r="K5" s="13" t="n">
        <v>108357084</v>
      </c>
    </row>
    <row r="6" ht="18" customHeight="1">
      <c r="A6" s="19" t="inlineStr">
        <is>
          <t>Ingreso neto del profesional</t>
        </is>
      </c>
      <c r="B6" s="13" t="n">
        <v>70113407</v>
      </c>
      <c r="C6" s="13" t="n">
        <v>70113407</v>
      </c>
      <c r="D6" s="13" t="n">
        <v>70113407</v>
      </c>
      <c r="E6" s="13" t="n">
        <v>57944964.46280992</v>
      </c>
      <c r="F6" s="13" t="n">
        <v>57944964.46280992</v>
      </c>
      <c r="G6" s="13" t="n">
        <v>108357084</v>
      </c>
      <c r="H6" s="13" t="n">
        <v>108357084</v>
      </c>
      <c r="I6" s="13" t="n">
        <v>108357084</v>
      </c>
      <c r="J6" s="13" t="n">
        <v>89551309.09090909</v>
      </c>
      <c r="K6" s="13" t="n">
        <v>89551309.09090909</v>
      </c>
    </row>
    <row r="7" ht="18" customHeight="1">
      <c r="A7" s="19" t="inlineStr">
        <is>
          <t>IVA cobrado al cliente</t>
        </is>
      </c>
      <c r="B7" s="13" t="n">
        <v>0</v>
      </c>
      <c r="C7" s="13" t="n">
        <v>14723815.47</v>
      </c>
      <c r="D7" s="13" t="n">
        <v>14723815.47</v>
      </c>
      <c r="E7" s="13" t="n">
        <v>12168442.53719008</v>
      </c>
      <c r="F7" s="13" t="n">
        <v>12168442.53719008</v>
      </c>
      <c r="G7" s="13" t="n">
        <v>0</v>
      </c>
      <c r="H7" s="13" t="n">
        <v>22754987.64</v>
      </c>
      <c r="I7" s="13" t="n">
        <v>22754987.64</v>
      </c>
      <c r="J7" s="13" t="n">
        <v>18805774.90909091</v>
      </c>
      <c r="K7" s="13" t="n">
        <v>18805774.90909091</v>
      </c>
    </row>
    <row r="8" ht="18" customHeight="1">
      <c r="A8" s="17" t="inlineStr">
        <is>
          <t>── DEDUCCIONES RI (Ganancias) ──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 ht="18" customHeight="1">
      <c r="A9" s="19" t="inlineStr">
        <is>
          <t>Gastos deducibles (% ingreso)</t>
        </is>
      </c>
      <c r="B9" s="13" t="n">
        <v>0</v>
      </c>
      <c r="C9" s="13" t="n">
        <v>14022681.4</v>
      </c>
      <c r="D9" s="13" t="n">
        <v>31551033.15</v>
      </c>
      <c r="E9" s="13" t="n">
        <v>11588992.89256199</v>
      </c>
      <c r="F9" s="13" t="n">
        <v>26075234.00826446</v>
      </c>
      <c r="G9" s="13" t="n">
        <v>0</v>
      </c>
      <c r="H9" s="13" t="n">
        <v>21671416.8</v>
      </c>
      <c r="I9" s="13" t="n">
        <v>48760687.8</v>
      </c>
      <c r="J9" s="13" t="n">
        <v>17910261.81818182</v>
      </c>
      <c r="K9" s="13" t="n">
        <v>40298089.09090909</v>
      </c>
    </row>
    <row r="10" ht="18" customHeight="1">
      <c r="A10" s="19" t="inlineStr">
        <is>
          <t>Aportes autónomos (anual)</t>
        </is>
      </c>
      <c r="B10" s="13" t="n">
        <v>0</v>
      </c>
      <c r="C10" s="13" t="n">
        <v>3407208</v>
      </c>
      <c r="D10" s="13" t="n">
        <v>3407208</v>
      </c>
      <c r="E10" s="13" t="n">
        <v>3407208</v>
      </c>
      <c r="F10" s="13" t="n">
        <v>3407208</v>
      </c>
      <c r="G10" s="13" t="n">
        <v>0</v>
      </c>
      <c r="H10" s="13" t="n">
        <v>3407208</v>
      </c>
      <c r="I10" s="13" t="n">
        <v>3407208</v>
      </c>
      <c r="J10" s="13" t="n">
        <v>3407208</v>
      </c>
      <c r="K10" s="13" t="n">
        <v>3407208</v>
      </c>
    </row>
    <row r="11" ht="18" customHeight="1">
      <c r="A11" s="19" t="inlineStr">
        <is>
          <t>Honorarios contador</t>
        </is>
      </c>
      <c r="B11" s="13" t="n">
        <v>660000</v>
      </c>
      <c r="C11" s="13" t="n">
        <v>3000000</v>
      </c>
      <c r="D11" s="13" t="n">
        <v>3000000</v>
      </c>
      <c r="E11" s="13" t="n">
        <v>3000000</v>
      </c>
      <c r="F11" s="13" t="n">
        <v>3000000</v>
      </c>
      <c r="G11" s="13" t="n">
        <v>660000</v>
      </c>
      <c r="H11" s="13" t="n">
        <v>3000000</v>
      </c>
      <c r="I11" s="13" t="n">
        <v>3000000</v>
      </c>
      <c r="J11" s="13" t="n">
        <v>3000000</v>
      </c>
      <c r="K11" s="13" t="n">
        <v>3000000</v>
      </c>
    </row>
    <row r="12" ht="18" customHeight="1">
      <c r="A12" s="19" t="inlineStr">
        <is>
          <t>Deducciones personales</t>
        </is>
      </c>
      <c r="B12" s="13" t="n">
        <v>0</v>
      </c>
      <c r="C12" s="13" t="n">
        <v>23183064</v>
      </c>
      <c r="D12" s="13" t="n">
        <v>23183064</v>
      </c>
      <c r="E12" s="13" t="n">
        <v>23183064</v>
      </c>
      <c r="F12" s="13" t="n">
        <v>23183064</v>
      </c>
      <c r="G12" s="13" t="n">
        <v>0</v>
      </c>
      <c r="H12" s="13" t="n">
        <v>23183064</v>
      </c>
      <c r="I12" s="13" t="n">
        <v>23183064</v>
      </c>
      <c r="J12" s="13" t="n">
        <v>23183064</v>
      </c>
      <c r="K12" s="13" t="n">
        <v>23183064</v>
      </c>
    </row>
    <row r="13" ht="18" customHeight="1">
      <c r="A13" s="19" t="inlineStr">
        <is>
          <t>Ganancia Neta Imponible</t>
        </is>
      </c>
      <c r="B13" s="20" t="n">
        <v>0</v>
      </c>
      <c r="C13" s="20" t="n">
        <v>26500453.6</v>
      </c>
      <c r="D13" s="20" t="n">
        <v>8972101.849999994</v>
      </c>
      <c r="E13" s="20" t="n">
        <v>16765699.57024793</v>
      </c>
      <c r="F13" s="20" t="n">
        <v>2279458.454545457</v>
      </c>
      <c r="G13" s="20" t="n">
        <v>0</v>
      </c>
      <c r="H13" s="20" t="n">
        <v>57095395.2</v>
      </c>
      <c r="I13" s="20" t="n">
        <v>30006124.2</v>
      </c>
      <c r="J13" s="20" t="n">
        <v>42050775.27272728</v>
      </c>
      <c r="K13" s="20" t="n">
        <v>19662948</v>
      </c>
    </row>
    <row r="14" ht="18" customHeight="1">
      <c r="A14" s="17" t="inlineStr">
        <is>
          <t>── IMPUESTOS Y CARGAS ──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</row>
    <row r="15" ht="18" customHeight="1">
      <c r="A15" s="19" t="inlineStr">
        <is>
          <t>Impuesto (integrado/Ganancias)</t>
        </is>
      </c>
      <c r="B15" s="13" t="n">
        <v>4206804</v>
      </c>
      <c r="C15" s="13" t="n">
        <v>3730074.694</v>
      </c>
      <c r="D15" s="13" t="n">
        <v>776649.4219999993</v>
      </c>
      <c r="E15" s="13" t="n">
        <v>1944849.68553719</v>
      </c>
      <c r="F15" s="13" t="n">
        <v>113972.9227272728</v>
      </c>
      <c r="G15" s="13" t="n">
        <v>14054556</v>
      </c>
      <c r="H15" s="13" t="n">
        <v>11534463.792</v>
      </c>
      <c r="I15" s="13" t="n">
        <v>4516367.185999999</v>
      </c>
      <c r="J15" s="13" t="n">
        <v>7348638.893636366</v>
      </c>
      <c r="K15" s="13" t="n">
        <v>2430948.63</v>
      </c>
    </row>
    <row r="16" ht="18" customHeight="1">
      <c r="A16" s="19" t="inlineStr">
        <is>
          <t>SIPA jubilación</t>
        </is>
      </c>
      <c r="B16" s="13" t="n">
        <v>829128</v>
      </c>
      <c r="C16" s="13" t="n">
        <v>2044324.8</v>
      </c>
      <c r="D16" s="13" t="n">
        <v>2044324.8</v>
      </c>
      <c r="E16" s="13" t="n">
        <v>2044324.8</v>
      </c>
      <c r="F16" s="13" t="n">
        <v>2044324.8</v>
      </c>
      <c r="G16" s="13" t="n">
        <v>829128</v>
      </c>
      <c r="H16" s="13" t="n">
        <v>2044324.8</v>
      </c>
      <c r="I16" s="13" t="n">
        <v>2044324.8</v>
      </c>
      <c r="J16" s="13" t="n">
        <v>2044324.8</v>
      </c>
      <c r="K16" s="13" t="n">
        <v>2044324.8</v>
      </c>
    </row>
    <row r="17" ht="18" customHeight="1">
      <c r="A17" s="19" t="inlineStr">
        <is>
          <t>Honorarios contador</t>
        </is>
      </c>
      <c r="B17" s="13" t="n">
        <v>660000</v>
      </c>
      <c r="C17" s="13" t="n">
        <v>3000000</v>
      </c>
      <c r="D17" s="13" t="n">
        <v>3000000</v>
      </c>
      <c r="E17" s="13" t="n">
        <v>3000000</v>
      </c>
      <c r="F17" s="13" t="n">
        <v>3000000</v>
      </c>
      <c r="G17" s="13" t="n">
        <v>660000</v>
      </c>
      <c r="H17" s="13" t="n">
        <v>3000000</v>
      </c>
      <c r="I17" s="13" t="n">
        <v>3000000</v>
      </c>
      <c r="J17" s="13" t="n">
        <v>3000000</v>
      </c>
      <c r="K17" s="13" t="n">
        <v>3000000</v>
      </c>
    </row>
    <row r="18" ht="18" customHeight="1">
      <c r="A18" s="17" t="inlineStr">
        <is>
          <t>── TOTALES ──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</row>
    <row r="19" ht="18" customHeight="1">
      <c r="A19" s="19" t="inlineStr">
        <is>
          <t>COSTO TOTAL (sin OS)</t>
        </is>
      </c>
      <c r="B19" s="21" t="n">
        <v>5695932</v>
      </c>
      <c r="C19" s="21" t="n">
        <v>8774399.493999999</v>
      </c>
      <c r="D19" s="21" t="n">
        <v>5820974.221999999</v>
      </c>
      <c r="E19" s="21" t="n">
        <v>6989174.48553719</v>
      </c>
      <c r="F19" s="21" t="n">
        <v>5158297.722727273</v>
      </c>
      <c r="G19" s="21" t="n">
        <v>15543684</v>
      </c>
      <c r="H19" s="21" t="n">
        <v>16578788.592</v>
      </c>
      <c r="I19" s="21" t="n">
        <v>9560691.985999998</v>
      </c>
      <c r="J19" s="21" t="n">
        <v>12392963.69363637</v>
      </c>
      <c r="K19" s="21" t="n">
        <v>7475273.43</v>
      </c>
    </row>
    <row r="20" ht="18" customHeight="1">
      <c r="A20" s="19" t="inlineStr">
        <is>
          <t>% sobre TOTAL FACTURADO</t>
        </is>
      </c>
      <c r="B20" s="22" t="n">
        <v>0.0812388420947794</v>
      </c>
      <c r="C20" s="23" t="n">
        <v>0.1034262937722034</v>
      </c>
      <c r="D20" s="22" t="n">
        <v>0.06861344646282359</v>
      </c>
      <c r="E20" s="23" t="n">
        <v>0.09968385198478788</v>
      </c>
      <c r="F20" s="22" t="n">
        <v>0.07357077545421908</v>
      </c>
      <c r="G20" s="22" t="n">
        <v>0.1434487107460367</v>
      </c>
      <c r="H20" s="22" t="n">
        <v>0.1264474612034282</v>
      </c>
      <c r="I20" s="22" t="n">
        <v>0.07291999787976196</v>
      </c>
      <c r="J20" s="22" t="n">
        <v>0.1143715134825552</v>
      </c>
      <c r="K20" s="22" t="n">
        <v>0.06898739938405872</v>
      </c>
    </row>
    <row r="21" ht="18" customHeight="1">
      <c r="A21" s="19" t="inlineStr">
        <is>
          <t>Diferencia vs. Monotributo ($)</t>
        </is>
      </c>
      <c r="B21" s="13" t="n"/>
      <c r="C21" s="13" t="n">
        <v>3078467.493999999</v>
      </c>
      <c r="D21" s="13" t="n">
        <v>125042.2219999991</v>
      </c>
      <c r="E21" s="13" t="n">
        <v>1293242.48553719</v>
      </c>
      <c r="F21" s="24" t="n">
        <v>-537634.2772727273</v>
      </c>
      <c r="G21" s="13" t="n"/>
      <c r="H21" s="13" t="n">
        <v>1035104.592</v>
      </c>
      <c r="I21" s="24" t="n">
        <v>-5982992.014000002</v>
      </c>
      <c r="J21" s="24" t="n">
        <v>-3150720.306363635</v>
      </c>
      <c r="K21" s="24" t="n">
        <v>-8068410.57</v>
      </c>
    </row>
    <row r="22" ht="18" customHeight="1">
      <c r="A22" s="19" t="inlineStr">
        <is>
          <t>Diferencia vs. Monotributo (pp)</t>
        </is>
      </c>
      <c r="B22" s="25" t="n"/>
      <c r="C22" s="25" t="n">
        <v>2.218745167742405</v>
      </c>
      <c r="D22" s="26" t="n">
        <v>-1.26253956319558</v>
      </c>
      <c r="E22" s="25" t="n">
        <v>1.844500989000849</v>
      </c>
      <c r="F22" s="26" t="n">
        <v>-0.7668066640560305</v>
      </c>
      <c r="G22" s="25" t="n"/>
      <c r="H22" s="26" t="n">
        <v>-1.700124954260849</v>
      </c>
      <c r="I22" s="26" t="n">
        <v>-7.052871286627473</v>
      </c>
      <c r="J22" s="26" t="n">
        <v>-2.90771972634815</v>
      </c>
      <c r="K22" s="26" t="n">
        <v>-7.446131136197796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7" t="inlineStr">
        <is>
          <t>ANÁLISIS DE SENSIBILIDAD — % Gastos Deducibles vs. Costo Fiscal</t>
        </is>
      </c>
      <c r="B1" s="2" t="n"/>
      <c r="C1" s="2" t="n"/>
      <c r="D1" s="2" t="n"/>
      <c r="E1" s="3" t="n"/>
    </row>
    <row r="2">
      <c r="A2" s="16" t="inlineStr">
        <is>
          <t>% Gastos
(s/ ing. neto)</t>
        </is>
      </c>
      <c r="B2" s="16" t="inlineStr">
        <is>
          <t>RI H B2B/B2C
% costo/total</t>
        </is>
      </c>
      <c r="C2" s="16" t="inlineStr">
        <is>
          <t>Mono H
(referencia)</t>
        </is>
      </c>
      <c r="D2" s="16" t="inlineStr">
        <is>
          <t>RI K B2B/B2C
% costo/total</t>
        </is>
      </c>
      <c r="E2" s="16" t="inlineStr">
        <is>
          <t>Mono K
(referencia)</t>
        </is>
      </c>
    </row>
    <row r="3">
      <c r="A3" s="28" t="n">
        <v>0</v>
      </c>
      <c r="B3" s="29" t="n">
        <v>0.1309430404151703</v>
      </c>
      <c r="C3" s="30" t="n">
        <v>0.0812388420947794</v>
      </c>
      <c r="D3" s="29" t="n">
        <v>0.1611997751635862</v>
      </c>
      <c r="E3" s="30" t="n">
        <v>0.1434487107460367</v>
      </c>
    </row>
    <row r="4">
      <c r="A4" s="28" t="n">
        <v>0.05</v>
      </c>
      <c r="B4" s="29" t="n">
        <v>0.1223193691833744</v>
      </c>
      <c r="C4" s="30" t="n">
        <v>0.0812388420947794</v>
      </c>
      <c r="D4" s="23" t="n">
        <v>0.1483898578082143</v>
      </c>
      <c r="E4" s="30" t="n">
        <v>0.1434487107460367</v>
      </c>
    </row>
    <row r="5">
      <c r="A5" s="28" t="n">
        <v>0.1</v>
      </c>
      <c r="B5" s="29" t="n">
        <v>0.114468129513953</v>
      </c>
      <c r="C5" s="30" t="n">
        <v>0.0812388420947794</v>
      </c>
      <c r="D5" s="31" t="n">
        <v>0.136685563069332</v>
      </c>
      <c r="E5" s="30" t="n">
        <v>0.1434487107460367</v>
      </c>
    </row>
    <row r="6">
      <c r="A6" s="28" t="n">
        <v>0.15</v>
      </c>
      <c r="B6" s="29" t="n">
        <v>0.1066168898445315</v>
      </c>
      <c r="C6" s="30" t="n">
        <v>0.0812388420947794</v>
      </c>
      <c r="D6" s="31" t="n">
        <v>0.1255285382759436</v>
      </c>
      <c r="E6" s="30" t="n">
        <v>0.1434487107460367</v>
      </c>
    </row>
    <row r="7">
      <c r="A7" s="28" t="n">
        <v>0.2</v>
      </c>
      <c r="B7" s="29" t="n">
        <v>0.09968385198478788</v>
      </c>
      <c r="C7" s="30" t="n">
        <v>0.0812388420947794</v>
      </c>
      <c r="D7" s="31" t="n">
        <v>0.1143715134825552</v>
      </c>
      <c r="E7" s="30" t="n">
        <v>0.1434487107460367</v>
      </c>
    </row>
    <row r="8">
      <c r="A8" s="28" t="n">
        <v>0.25</v>
      </c>
      <c r="B8" s="29" t="n">
        <v>0.09348550487734986</v>
      </c>
      <c r="C8" s="30" t="n">
        <v>0.0812388420947794</v>
      </c>
      <c r="D8" s="31" t="n">
        <v>0.1042951809055863</v>
      </c>
      <c r="E8" s="30" t="n">
        <v>0.1434487107460367</v>
      </c>
    </row>
    <row r="9">
      <c r="A9" s="28" t="n">
        <v>0.3</v>
      </c>
      <c r="B9" s="29" t="n">
        <v>0.08728715776991186</v>
      </c>
      <c r="C9" s="30" t="n">
        <v>0.0812388420947794</v>
      </c>
      <c r="D9" s="31" t="n">
        <v>0.09479104867418142</v>
      </c>
      <c r="E9" s="30" t="n">
        <v>0.1434487107460367</v>
      </c>
    </row>
    <row r="10">
      <c r="A10" s="28" t="n">
        <v>0.35</v>
      </c>
      <c r="B10" s="23" t="n">
        <v>0.08148508013737193</v>
      </c>
      <c r="C10" s="30" t="n">
        <v>0.0812388420947794</v>
      </c>
      <c r="D10" s="31" t="n">
        <v>0.08528691644277647</v>
      </c>
      <c r="E10" s="30" t="n">
        <v>0.1434487107460367</v>
      </c>
    </row>
    <row r="11">
      <c r="A11" s="28" t="n">
        <v>0.4</v>
      </c>
      <c r="B11" s="32" t="n">
        <v>0.07687868243218783</v>
      </c>
      <c r="C11" s="30" t="n">
        <v>0.0812388420947794</v>
      </c>
      <c r="D11" s="31" t="n">
        <v>0.07683863905348022</v>
      </c>
      <c r="E11" s="30" t="n">
        <v>0.1434487107460367</v>
      </c>
    </row>
    <row r="12">
      <c r="A12" s="28" t="n">
        <v>0.45</v>
      </c>
      <c r="B12" s="31" t="n">
        <v>0.07357077545421908</v>
      </c>
      <c r="C12" s="30" t="n">
        <v>0.0812388420947794</v>
      </c>
      <c r="D12" s="31" t="n">
        <v>0.06898739938405872</v>
      </c>
      <c r="E12" s="30" t="n">
        <v>0.1434487107460367</v>
      </c>
    </row>
    <row r="13">
      <c r="A13" s="28" t="n">
        <v>0.5</v>
      </c>
      <c r="B13" s="31" t="n">
        <v>0.07194522439909389</v>
      </c>
      <c r="C13" s="30" t="n">
        <v>0.0812388420947794</v>
      </c>
      <c r="D13" s="31" t="n">
        <v>0.0623136640684995</v>
      </c>
      <c r="E13" s="30" t="n">
        <v>0.1434487107460367</v>
      </c>
    </row>
    <row r="14">
      <c r="A14" s="28" t="n">
        <v>0.55</v>
      </c>
      <c r="B14" s="31" t="n">
        <v>0.07194522439909389</v>
      </c>
      <c r="C14" s="30" t="n">
        <v>0.0812388420947794</v>
      </c>
      <c r="D14" s="31" t="n">
        <v>0.05611531696106148</v>
      </c>
      <c r="E14" s="30" t="n">
        <v>0.1434487107460367</v>
      </c>
    </row>
    <row r="15">
      <c r="A15" s="28" t="n">
        <v>0.6</v>
      </c>
      <c r="B15" s="31" t="n">
        <v>0.07194522439909389</v>
      </c>
      <c r="C15" s="30" t="n">
        <v>0.0812388420947794</v>
      </c>
      <c r="D15" s="31" t="n">
        <v>0.05068383158376279</v>
      </c>
      <c r="E15" s="30" t="n">
        <v>0.1434487107460367</v>
      </c>
    </row>
    <row r="16">
      <c r="A16" s="28" t="n">
        <v>0.65</v>
      </c>
      <c r="B16" s="31" t="n">
        <v>0.07194522439909389</v>
      </c>
      <c r="C16" s="30" t="n">
        <v>0.0812388420947794</v>
      </c>
      <c r="D16" s="31" t="n">
        <v>0.04736154683796132</v>
      </c>
      <c r="E16" s="30" t="n">
        <v>0.1434487107460367</v>
      </c>
    </row>
    <row r="17">
      <c r="A17" s="28" t="n">
        <v>0.7</v>
      </c>
      <c r="B17" s="31" t="n">
        <v>0.07194522439909389</v>
      </c>
      <c r="C17" s="30" t="n">
        <v>0.0812388420947794</v>
      </c>
      <c r="D17" s="31" t="n">
        <v>0.04655279206295363</v>
      </c>
      <c r="E17" s="30" t="n">
        <v>0.1434487107460367</v>
      </c>
    </row>
    <row r="18">
      <c r="A18" s="28" t="n">
        <v>0.75</v>
      </c>
      <c r="B18" s="31" t="n">
        <v>0.07194522439909389</v>
      </c>
      <c r="C18" s="30" t="n">
        <v>0.0812388420947794</v>
      </c>
      <c r="D18" s="31" t="n">
        <v>0.04655279206295363</v>
      </c>
      <c r="E18" s="30" t="n">
        <v>0.1434487107460367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35" customWidth="1" min="4" max="4"/>
  </cols>
  <sheetData>
    <row r="1" ht="30" customHeight="1">
      <c r="A1" s="15" t="inlineStr">
        <is>
          <t>MI ESCENARIO PERSONALIZADO</t>
        </is>
      </c>
      <c r="B1" s="2" t="n"/>
      <c r="C1" s="2" t="n"/>
      <c r="D1" s="3" t="n"/>
    </row>
    <row r="2">
      <c r="A2" s="4" t="inlineStr">
        <is>
          <t>Ingresá tus valores para comparar tu situación particular.</t>
        </is>
      </c>
    </row>
    <row r="4">
      <c r="A4" s="5" t="inlineStr">
        <is>
          <t>── TUS DATOS ──</t>
        </is>
      </c>
      <c r="B4" s="2" t="n"/>
      <c r="C4" s="2" t="n"/>
      <c r="D4" s="3" t="n"/>
    </row>
    <row r="5">
      <c r="A5" s="7" t="inlineStr">
        <is>
          <t>Facturación mensual promedio ($)</t>
        </is>
      </c>
      <c r="B5" s="8" t="n">
        <v>8000000</v>
      </c>
      <c r="C5" s="9" t="n"/>
      <c r="D5" s="33" t="inlineStr">
        <is>
          <t>Lo que facturás en promedio por mes</t>
        </is>
      </c>
    </row>
    <row r="6">
      <c r="A6" s="7" t="inlineStr">
        <is>
          <t>% Gastos deducibles (sobre ing. neto)</t>
        </is>
      </c>
      <c r="B6" s="11" t="n">
        <v>0.25</v>
      </c>
      <c r="C6" s="9" t="n"/>
      <c r="D6" s="33" t="inlineStr">
        <is>
          <t>Tus costos reales como % de tus ingresos</t>
        </is>
      </c>
    </row>
    <row r="7">
      <c r="A7" s="7" t="inlineStr">
        <is>
          <t>Tipo de clientes</t>
        </is>
      </c>
      <c r="B7" s="34" t="inlineStr">
        <is>
          <t>B2B</t>
        </is>
      </c>
      <c r="C7" s="9" t="n"/>
      <c r="D7" s="33" t="inlineStr">
        <is>
          <t>Escribí B2B o B2C</t>
        </is>
      </c>
    </row>
    <row r="9">
      <c r="A9" s="5" t="inlineStr">
        <is>
          <t>── CÁLCULOS ──</t>
        </is>
      </c>
      <c r="B9" s="2" t="n"/>
      <c r="C9" s="2" t="n"/>
      <c r="D9" s="3" t="n"/>
    </row>
    <row r="10">
      <c r="A10" s="7" t="inlineStr">
        <is>
          <t>Facturación anual (billing ref.)</t>
        </is>
      </c>
      <c r="B10" s="35">
        <f>B5*12</f>
        <v/>
      </c>
      <c r="C10" s="36" t="n"/>
    </row>
    <row r="11">
      <c r="A11" s="7" t="inlineStr">
        <is>
          <t>IVA rate (de Parámetros)</t>
        </is>
      </c>
      <c r="B11" s="30">
        <f>IVA_R</f>
        <v/>
      </c>
    </row>
    <row r="12">
      <c r="A12" s="7" t="inlineStr">
        <is>
          <t>Ingreso neto RI (÷ 1+IVA)</t>
        </is>
      </c>
      <c r="B12" s="37">
        <f>B10/(1+B11)</f>
        <v/>
      </c>
    </row>
    <row r="13">
      <c r="A13" s="7" t="inlineStr">
        <is>
          <t>Gastos deducibles ($)</t>
        </is>
      </c>
      <c r="B13" s="37">
        <f>B12*B6</f>
        <v/>
      </c>
    </row>
    <row r="14">
      <c r="A14" s="7" t="inlineStr">
        <is>
          <t>Aportes autónomos anuales</t>
        </is>
      </c>
      <c r="B14" s="37">
        <f>AUT_M*12</f>
        <v/>
      </c>
    </row>
    <row r="15">
      <c r="A15" s="7" t="inlineStr">
        <is>
          <t>Deducciones personales</t>
        </is>
      </c>
      <c r="B15" s="37">
        <f>MNI_R+DE_R</f>
        <v/>
      </c>
    </row>
    <row r="16">
      <c r="A16" s="38" t="inlineStr">
        <is>
          <t>Ganancia Neta Imponible (GNI)</t>
        </is>
      </c>
      <c r="B16" s="20">
        <f>MAX(0,B12-B13-CNT_RI-B14-B15)</f>
        <v/>
      </c>
    </row>
    <row r="18">
      <c r="A18" s="5" t="inlineStr">
        <is>
          <t>── COSTO RI ──</t>
        </is>
      </c>
      <c r="B18" s="2" t="n"/>
      <c r="C18" s="2" t="n"/>
      <c r="D18" s="3" t="n"/>
    </row>
    <row r="19">
      <c r="A19" s="7" t="inlineStr">
        <is>
          <t>Impuesto a las Ganancias</t>
        </is>
      </c>
      <c r="B19" s="13">
        <f>MAX(0,IFERROR(INDEX(Parámetros!$C$27:$C$35,MATCH(B16,Parámetros!$A$27:$A$35,1))+INDEX(Parámetros!$D$27:$D$35,MATCH(B16,Parámetros!$A$27:$A$35,1))*(B16-INDEX(Parámetros!$A$27:$A$35,MATCH(B16,Parámetros!$A$27:$A$35,1))),0))</f>
        <v/>
      </c>
    </row>
    <row r="20">
      <c r="A20" s="7" t="inlineStr">
        <is>
          <t>SIPA jubilación</t>
        </is>
      </c>
      <c r="B20" s="13">
        <f>AUT_M*12*FSIPA</f>
        <v/>
      </c>
    </row>
    <row r="21">
      <c r="A21" s="7" t="inlineStr">
        <is>
          <t>Honorarios contador RI</t>
        </is>
      </c>
      <c r="B21" s="13">
        <f>CNT_RI</f>
        <v/>
      </c>
    </row>
    <row r="22">
      <c r="A22" s="38" t="inlineStr">
        <is>
          <t>COSTO TOTAL RI (sin OS)</t>
        </is>
      </c>
      <c r="B22" s="21">
        <f>B19+B20+B21</f>
        <v/>
      </c>
    </row>
    <row r="23">
      <c r="A23" s="38" t="inlineStr">
        <is>
          <t>% sobre total facturado</t>
        </is>
      </c>
      <c r="B23" s="39">
        <f>B22/B10</f>
        <v/>
      </c>
    </row>
    <row r="25">
      <c r="A25" s="5" t="inlineStr">
        <is>
          <t>── COSTO MONOTRIBUTO (estimado por facturación) ──</t>
        </is>
      </c>
      <c r="B25" s="2" t="n"/>
      <c r="C25" s="2" t="n"/>
      <c r="D25" s="3" t="n"/>
    </row>
    <row r="26">
      <c r="A26" s="7" t="inlineStr">
        <is>
          <t>Impuesto integrado (interpolado)</t>
        </is>
      </c>
      <c r="B26" s="13">
        <f>IF(B10&lt;=BIL_H, IMP_H*(B10/BIL_H),IF(B10&lt;=BIL_K, IMP_H+(IMP_K-IMP_H)*((B10-BIL_H)/(BIL_K-BIL_H)), IMP_K))</f>
        <v/>
      </c>
      <c r="C26" s="40" t="inlineStr">
        <is>
          <t>(interpolado entre Cat H y K)</t>
        </is>
      </c>
    </row>
    <row r="27">
      <c r="A27" s="7" t="inlineStr">
        <is>
          <t>SIPA jubilación Monotributo</t>
        </is>
      </c>
      <c r="B27" s="13">
        <f>SIPAM_H</f>
        <v/>
      </c>
    </row>
    <row r="28">
      <c r="A28" s="7" t="inlineStr">
        <is>
          <t>Honorarios contador Mono</t>
        </is>
      </c>
      <c r="B28" s="13">
        <f>CNT_M</f>
        <v/>
      </c>
    </row>
    <row r="29">
      <c r="A29" s="38" t="inlineStr">
        <is>
          <t>COSTO TOTAL Monotributo (sin OS)</t>
        </is>
      </c>
      <c r="B29" s="21">
        <f>B26+B27+B28</f>
        <v/>
      </c>
    </row>
    <row r="30">
      <c r="A30" s="38" t="inlineStr">
        <is>
          <t>% sobre total facturado</t>
        </is>
      </c>
      <c r="B30" s="39">
        <f>B29/B10</f>
        <v/>
      </c>
    </row>
    <row r="32">
      <c r="A32" s="5" t="inlineStr">
        <is>
          <t>── RECOMENDACIÓN ──</t>
        </is>
      </c>
      <c r="B32" s="2" t="n"/>
      <c r="C32" s="2" t="n"/>
      <c r="D32" s="3" t="n"/>
    </row>
    <row r="33">
      <c r="A33" s="38" t="inlineStr">
        <is>
          <t>Régimen más conveniente</t>
        </is>
      </c>
      <c r="B33" s="41">
        <f>IF(B23&lt;B30,"✅ Responsable Inscripto","✅ Monotributo")</f>
        <v/>
      </c>
      <c r="C33" s="42" t="n"/>
      <c r="D33" s="43" t="n"/>
    </row>
    <row r="34">
      <c r="A34" s="7" t="inlineStr">
        <is>
          <t>Diferencia (RI - Mono) en $ anuales</t>
        </is>
      </c>
      <c r="B34" s="13">
        <f>B22-B29</f>
        <v/>
      </c>
    </row>
    <row r="35">
      <c r="A35" s="7" t="inlineStr">
        <is>
          <t>Diferencia (RI - Mono) en pp</t>
        </is>
      </c>
      <c r="B35" s="44">
        <f>(B23-B30)*100</f>
        <v/>
      </c>
    </row>
  </sheetData>
  <mergeCells count="27">
    <mergeCell ref="C34:D34"/>
    <mergeCell ref="C30:D30"/>
    <mergeCell ref="C15:D15"/>
    <mergeCell ref="A4:D4"/>
    <mergeCell ref="C14:D14"/>
    <mergeCell ref="C26:D26"/>
    <mergeCell ref="C35:D35"/>
    <mergeCell ref="C20:D20"/>
    <mergeCell ref="A9:D9"/>
    <mergeCell ref="C29:D29"/>
    <mergeCell ref="C10:D10"/>
    <mergeCell ref="C16:D16"/>
    <mergeCell ref="C22:D22"/>
    <mergeCell ref="B33:D33"/>
    <mergeCell ref="A1:D1"/>
    <mergeCell ref="C12:D12"/>
    <mergeCell ref="C21:D21"/>
    <mergeCell ref="C11:D11"/>
    <mergeCell ref="C27:D27"/>
    <mergeCell ref="A25:D25"/>
    <mergeCell ref="C23:D23"/>
    <mergeCell ref="A18:D18"/>
    <mergeCell ref="C19:D19"/>
    <mergeCell ref="C28:D28"/>
    <mergeCell ref="C13:D13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2026-03-13T20:18:34Z</dcterms:created>
  <dcterms:modified xsi:type="dcterms:W3CDTF">2026-03-13T20:18:34Z</dcterms:modified>
</cp:coreProperties>
</file>